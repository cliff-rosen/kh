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nstants &amp; Thresholds" sheetId="1" state="visible" r:id="rId1"/>
    <sheet name="2. Search Relevance Score" sheetId="2" state="visible" r:id="rId2"/>
    <sheet name="3. Semantic Filter" sheetId="3" state="visible" r:id="rId3"/>
    <sheet name="4. Iterative Answer Eval" sheetId="4" state="visible" r:id="rId4"/>
    <sheet name="5. Deep Research Eval" sheetId="5" state="visible" r:id="rId5"/>
    <sheet name="6. Full Pipeline Flow" sheetId="6" state="visible" r:id="rId6"/>
    <sheet name="7. AIEvaluationService API" sheetId="7" state="visible" r:id="rId7"/>
    <sheet name="8. NOT Implement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name val="Consolas"/>
      <sz val="10"/>
    </font>
    <font>
      <i val="1"/>
      <color rgb="001F4E79"/>
    </font>
    <font>
      <i val="1"/>
    </font>
    <font>
      <i val="1"/>
      <color rgb="00808080"/>
    </font>
    <font>
      <i val="1"/>
      <color rgb="00C00000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2" fontId="5" fillId="0" borderId="1" pivotButton="0" quotePrefix="0" xfId="0"/>
    <xf numFmtId="0" fontId="6" fillId="0" borderId="0" pivotButton="0" quotePrefix="0" xfId="0"/>
    <xf numFmtId="0" fontId="2" fillId="3" borderId="1" pivotButton="0" quotePrefix="0" xfId="0"/>
    <xf numFmtId="165" fontId="0" fillId="0" borderId="0" pivotButton="0" quotePrefix="0" xfId="0"/>
    <xf numFmtId="0" fontId="7" fillId="0" borderId="0" pivotButton="0" quotePrefix="0" xfId="0"/>
    <xf numFmtId="2" fontId="0" fillId="0" borderId="1" pivotButton="0" quotePrefix="0" xfId="0"/>
    <xf numFmtId="165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8" fillId="0" borderId="0" pivotButton="0" quotePrefix="0" xfId="0"/>
    <xf numFmtId="165" fontId="2" fillId="3" borderId="1" pivotButton="0" quotePrefix="0" xfId="0"/>
    <xf numFmtId="0" fontId="0" fillId="5" borderId="1" pivotButton="0" quotePrefix="0" xfId="0"/>
    <xf numFmtId="0" fontId="7" fillId="0" borderId="1" pivotButton="0" quotePrefix="0" xfId="0"/>
    <xf numFmtId="0" fontId="9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9" customWidth="1" min="4" max="4"/>
    <col width="12" customWidth="1" min="5" max="5"/>
    <col width="40" customWidth="1" min="6" max="6"/>
  </cols>
  <sheetData>
    <row r="1">
      <c r="A1" s="1" t="inlineStr">
        <is>
          <t>Constant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Source File</t>
        </is>
      </c>
      <c r="E1" s="1" t="inlineStr">
        <is>
          <t>Line(s)</t>
        </is>
      </c>
      <c r="F1" s="1" t="inlineStr">
        <is>
          <t>Purpose</t>
        </is>
      </c>
    </row>
    <row r="2">
      <c r="A2" s="2" t="inlineStr">
        <is>
          <t>Semantic Filter Threshold (default)</t>
        </is>
      </c>
      <c r="B2" s="2" t="n">
        <v>0.7</v>
      </c>
      <c r="C2" s="2" t="inlineStr">
        <is>
          <t>float 0.0-1.0</t>
        </is>
      </c>
      <c r="D2" s="2" t="inlineStr">
        <is>
          <t>schemas/research_stream.py</t>
        </is>
      </c>
      <c r="E2" s="2" t="inlineStr">
        <is>
          <t>112</t>
        </is>
      </c>
      <c r="F2" s="2" t="inlineStr">
        <is>
          <t>Minimum LLM score for an article to pass semantic filtering</t>
        </is>
      </c>
    </row>
    <row r="3">
      <c r="A3" s="2" t="inlineStr">
        <is>
          <t>Semantic Filter Score Range</t>
        </is>
      </c>
      <c r="B3" s="2" t="inlineStr">
        <is>
          <t>0.0 - 1.0</t>
        </is>
      </c>
      <c r="C3" s="2" t="inlineStr">
        <is>
          <t>float</t>
        </is>
      </c>
      <c r="D3" s="2" t="inlineStr">
        <is>
          <t>pipeline_service.py</t>
        </is>
      </c>
      <c r="E3" s="2" t="inlineStr">
        <is>
          <t>1279-1280</t>
        </is>
      </c>
      <c r="F3" s="2" t="inlineStr">
        <is>
          <t>Min/max value passed to AIEvaluationService.score()</t>
        </is>
      </c>
    </row>
    <row r="4">
      <c r="A4" s="2" t="inlineStr">
        <is>
          <t>Relevance Score Range</t>
        </is>
      </c>
      <c r="B4" s="2" t="inlineStr">
        <is>
          <t>0.0 - 10.0</t>
        </is>
      </c>
      <c r="C4" s="2" t="inlineStr">
        <is>
          <t>float</t>
        </is>
      </c>
      <c r="D4" s="2" t="inlineStr">
        <is>
          <t>search_providers/base.py</t>
        </is>
      </c>
      <c r="E4" s="2" t="inlineStr">
        <is>
          <t>167</t>
        </is>
      </c>
      <c r="F4" s="2" t="inlineStr">
        <is>
          <t>Position-based relevance score range</t>
        </is>
      </c>
    </row>
    <row r="5">
      <c r="A5" s="2" t="inlineStr">
        <is>
          <t>Answer Eval Score Threshold</t>
        </is>
      </c>
      <c r="B5" s="2" t="n">
        <v>0.8</v>
      </c>
      <c r="C5" s="2" t="inlineStr">
        <is>
          <t>float 0.0-1.0</t>
        </is>
      </c>
      <c r="D5" s="2" t="inlineStr">
        <is>
          <t>iterative_answer_service.py</t>
        </is>
      </c>
      <c r="E5" s="2" t="inlineStr">
        <is>
          <t>30</t>
        </is>
      </c>
      <c r="F5" s="2" t="inlineStr">
        <is>
          <t>Minimum LLM score to accept an iterative answer</t>
        </is>
      </c>
    </row>
    <row r="6">
      <c r="A6" s="2" t="inlineStr">
        <is>
          <t>Answer Eval Max Iterations</t>
        </is>
      </c>
      <c r="B6" s="2" t="n">
        <v>3</v>
      </c>
      <c r="C6" s="2" t="inlineStr">
        <is>
          <t>int</t>
        </is>
      </c>
      <c r="D6" s="2" t="inlineStr">
        <is>
          <t>iterative_answer_service.py</t>
        </is>
      </c>
      <c r="E6" s="2" t="inlineStr">
        <is>
          <t>41</t>
        </is>
      </c>
      <c r="F6" s="2" t="inlineStr">
        <is>
          <t>Max generate-&gt;evaluate-&gt;feedback cycles</t>
        </is>
      </c>
    </row>
    <row r="7">
      <c r="A7" s="2" t="inlineStr">
        <is>
          <t>Deep Research Confidence Threshold</t>
        </is>
      </c>
      <c r="B7" s="2" t="n">
        <v>0.8</v>
      </c>
      <c r="C7" s="2" t="inlineStr">
        <is>
          <t>float 0.0-1.0</t>
        </is>
      </c>
      <c r="D7" s="2" t="inlineStr">
        <is>
          <t>deep_research_service.py</t>
        </is>
      </c>
      <c r="E7" s="2" t="inlineStr">
        <is>
          <t>143</t>
        </is>
      </c>
      <c r="F7" s="2" t="inlineStr">
        <is>
          <t>Below this, first-pass PASS triggers second opinion</t>
        </is>
      </c>
    </row>
    <row r="8">
      <c r="A8" s="2" t="inlineStr">
        <is>
          <t>Deep Research Min Sources</t>
        </is>
      </c>
      <c r="B8" s="2" t="n">
        <v>3</v>
      </c>
      <c r="C8" s="2" t="inlineStr">
        <is>
          <t>int</t>
        </is>
      </c>
      <c r="D8" s="2" t="inlineStr">
        <is>
          <t>deep_research_service.py</t>
        </is>
      </c>
      <c r="E8" s="2" t="inlineStr">
        <is>
          <t>144</t>
        </is>
      </c>
      <c r="F8" s="2" t="inlineStr">
        <is>
          <t>Minimum sources before research can be considered complete</t>
        </is>
      </c>
    </row>
    <row r="9">
      <c r="A9" s="2" t="inlineStr">
        <is>
          <t>Deep Research Max Iterations</t>
        </is>
      </c>
      <c r="B9" s="2" t="n">
        <v>10</v>
      </c>
      <c r="C9" s="2" t="inlineStr">
        <is>
          <t>int</t>
        </is>
      </c>
      <c r="D9" s="2" t="inlineStr">
        <is>
          <t>deep_research_service.py</t>
        </is>
      </c>
      <c r="E9" s="2" t="inlineStr">
        <is>
          <t>139</t>
        </is>
      </c>
      <c r="F9" s="2" t="inlineStr">
        <is>
          <t>Max research loop iterations</t>
        </is>
      </c>
    </row>
    <row r="10">
      <c r="A10" s="2" t="inlineStr">
        <is>
          <t>Deep Research Timeout</t>
        </is>
      </c>
      <c r="B10" s="2" t="n">
        <v>600</v>
      </c>
      <c r="C10" s="2" t="inlineStr">
        <is>
          <t>seconds</t>
        </is>
      </c>
      <c r="D10" s="2" t="inlineStr">
        <is>
          <t>deep_research_service.py</t>
        </is>
      </c>
      <c r="E10" s="2" t="inlineStr">
        <is>
          <t>140</t>
        </is>
      </c>
      <c r="F10" s="2" t="inlineStr">
        <is>
          <t>Hard timeout for the entire research loop</t>
        </is>
      </c>
    </row>
    <row r="11"/>
    <row r="12"/>
    <row r="13">
      <c r="A13" s="3" t="inlineStr">
        <is>
          <t>Confidence Calibration Rubric (all LLM outputs)</t>
        </is>
      </c>
    </row>
    <row r="14">
      <c r="A14" s="1" t="inlineStr">
        <is>
          <t>Score Range</t>
        </is>
      </c>
      <c r="B14" s="1" t="inlineStr">
        <is>
          <t>Meaning</t>
        </is>
      </c>
      <c r="C14" s="1" t="inlineStr">
        <is>
          <t>Used In</t>
        </is>
      </c>
    </row>
    <row r="15">
      <c r="A15" s="2" t="inlineStr">
        <is>
          <t>0.9 - 1.0</t>
        </is>
      </c>
      <c r="B15" s="2" t="inlineStr">
        <is>
          <t>Explicit statement in source text</t>
        </is>
      </c>
      <c r="C15" s="2" t="inlineStr">
        <is>
          <t>filter, score, extract, extract_fields</t>
        </is>
      </c>
    </row>
    <row r="16">
      <c r="A16" s="2" t="inlineStr">
        <is>
          <t>0.7 - 0.89</t>
        </is>
      </c>
      <c r="B16" s="2" t="inlineStr">
        <is>
          <t>Strong inference with clear supporting context</t>
        </is>
      </c>
      <c r="C16" s="2" t="inlineStr">
        <is>
          <t>filter, score, extract, extract_fields</t>
        </is>
      </c>
    </row>
    <row r="17">
      <c r="A17" s="2" t="inlineStr">
        <is>
          <t>0.4 - 0.69</t>
        </is>
      </c>
      <c r="B17" s="2" t="inlineStr">
        <is>
          <t>Weak inference or ambiguous evidence</t>
        </is>
      </c>
      <c r="C17" s="2" t="inlineStr">
        <is>
          <t>filter, score, extract, extract_fields</t>
        </is>
      </c>
    </row>
    <row r="18">
      <c r="A18" s="2" t="inlineStr">
        <is>
          <t>Below 0.4</t>
        </is>
      </c>
      <c r="B18" s="2" t="inlineStr">
        <is>
          <t>Insufficient evidence</t>
        </is>
      </c>
      <c r="C18" s="2" t="inlineStr">
        <is>
          <t>filter, score, extract, extract_fields</t>
        </is>
      </c>
    </row>
  </sheetData>
  <mergeCells count="1"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7" customWidth="1" min="4" max="4"/>
    <col width="16" customWidth="1" min="5" max="5"/>
    <col width="13" customWidth="1" min="6" max="6"/>
    <col width="21" customWidth="1" min="7" max="7"/>
  </cols>
  <sheetData>
    <row r="1">
      <c r="A1" s="4" t="inlineStr">
        <is>
          <t>Formula: score = 10.0 × (1.0 - (position - 1) / min(total_results, 100))</t>
        </is>
      </c>
    </row>
    <row r="2">
      <c r="A2" s="5" t="inlineStr">
        <is>
          <t>Source: backend/services/search_providers/base.py:152-168</t>
        </is>
      </c>
    </row>
    <row r="3">
      <c r="A3" s="5" t="inlineStr">
        <is>
          <t>Clamp: max(0.0, min(10.0, result))  •  If total_results &lt;= 0, return 5.0</t>
        </is>
      </c>
    </row>
    <row r="4"/>
    <row r="5">
      <c r="A5" s="1" t="inlineStr">
        <is>
          <t>Article</t>
        </is>
      </c>
      <c r="B5" s="1" t="inlineStr">
        <is>
          <t>Position</t>
        </is>
      </c>
      <c r="C5" s="1" t="inlineStr">
        <is>
          <t>Total Results</t>
        </is>
      </c>
      <c r="D5" s="1" t="inlineStr">
        <is>
          <t>min(total, 100)</t>
        </is>
      </c>
      <c r="E5" s="1" t="inlineStr">
        <is>
          <t>Decay Fraction</t>
        </is>
      </c>
      <c r="F5" s="1" t="inlineStr">
        <is>
          <t>Raw Score</t>
        </is>
      </c>
      <c r="G5" s="1" t="inlineStr">
        <is>
          <t>Clamped Score</t>
        </is>
      </c>
    </row>
    <row r="6">
      <c r="A6" s="2" t="inlineStr">
        <is>
          <t>CRISPR gene therapy in sickle cell</t>
        </is>
      </c>
      <c r="B6" s="2" t="n">
        <v>1</v>
      </c>
      <c r="C6" s="2" t="n">
        <v>50</v>
      </c>
      <c r="D6" s="6">
        <f>MIN(C6,100)</f>
        <v/>
      </c>
      <c r="E6" s="7">
        <f>(B6-1)/D6</f>
        <v/>
      </c>
      <c r="F6" s="8">
        <f>10*(1-E6)</f>
        <v/>
      </c>
      <c r="G6" s="8">
        <f>MAX(0,MIN(10,F6))</f>
        <v/>
      </c>
    </row>
    <row r="7">
      <c r="A7" s="2" t="inlineStr">
        <is>
          <t>Novel CAR-T approach for leukemia</t>
        </is>
      </c>
      <c r="B7" s="2" t="n">
        <v>2</v>
      </c>
      <c r="C7" s="2" t="n">
        <v>50</v>
      </c>
      <c r="D7" s="6">
        <f>MIN(C7,100)</f>
        <v/>
      </c>
      <c r="E7" s="7">
        <f>(B7-1)/D7</f>
        <v/>
      </c>
      <c r="F7" s="8">
        <f>10*(1-E7)</f>
        <v/>
      </c>
      <c r="G7" s="8">
        <f>MAX(0,MIN(10,F7))</f>
        <v/>
      </c>
    </row>
    <row r="8">
      <c r="A8" s="2" t="inlineStr">
        <is>
          <t>mRNA vaccine platform review</t>
        </is>
      </c>
      <c r="B8" s="2" t="n">
        <v>5</v>
      </c>
      <c r="C8" s="2" t="n">
        <v>50</v>
      </c>
      <c r="D8" s="6">
        <f>MIN(C8,100)</f>
        <v/>
      </c>
      <c r="E8" s="7">
        <f>(B8-1)/D8</f>
        <v/>
      </c>
      <c r="F8" s="8">
        <f>10*(1-E8)</f>
        <v/>
      </c>
      <c r="G8" s="8">
        <f>MAX(0,MIN(10,F8))</f>
        <v/>
      </c>
    </row>
    <row r="9">
      <c r="A9" s="2" t="inlineStr">
        <is>
          <t>Insulin resistance biomarkers</t>
        </is>
      </c>
      <c r="B9" s="2" t="n">
        <v>10</v>
      </c>
      <c r="C9" s="2" t="n">
        <v>50</v>
      </c>
      <c r="D9" s="6">
        <f>MIN(C9,100)</f>
        <v/>
      </c>
      <c r="E9" s="7">
        <f>(B9-1)/D9</f>
        <v/>
      </c>
      <c r="F9" s="8">
        <f>10*(1-E9)</f>
        <v/>
      </c>
      <c r="G9" s="8">
        <f>MAX(0,MIN(10,F9))</f>
        <v/>
      </c>
    </row>
    <row r="10">
      <c r="A10" s="2" t="inlineStr">
        <is>
          <t>Cardiology outcomes meta-analysis</t>
        </is>
      </c>
      <c r="B10" s="2" t="n">
        <v>25</v>
      </c>
      <c r="C10" s="2" t="n">
        <v>50</v>
      </c>
      <c r="D10" s="6">
        <f>MIN(C10,100)</f>
        <v/>
      </c>
      <c r="E10" s="7">
        <f>(B10-1)/D10</f>
        <v/>
      </c>
      <c r="F10" s="8">
        <f>10*(1-E10)</f>
        <v/>
      </c>
      <c r="G10" s="8">
        <f>MAX(0,MIN(10,F10))</f>
        <v/>
      </c>
    </row>
    <row r="11">
      <c r="A11" s="2" t="inlineStr">
        <is>
          <t>Alzheimer's tau protein study</t>
        </is>
      </c>
      <c r="B11" s="2" t="n">
        <v>50</v>
      </c>
      <c r="C11" s="2" t="n">
        <v>50</v>
      </c>
      <c r="D11" s="6">
        <f>MIN(C11,100)</f>
        <v/>
      </c>
      <c r="E11" s="7">
        <f>(B11-1)/D11</f>
        <v/>
      </c>
      <c r="F11" s="8">
        <f>10*(1-E11)</f>
        <v/>
      </c>
      <c r="G11" s="8">
        <f>MAX(0,MIN(10,F11))</f>
        <v/>
      </c>
    </row>
    <row r="12">
      <c r="A12" s="2" t="inlineStr">
        <is>
          <t>Rare disease case report</t>
        </is>
      </c>
      <c r="B12" s="2" t="n">
        <v>1</v>
      </c>
      <c r="C12" s="2" t="n">
        <v>5</v>
      </c>
      <c r="D12" s="6">
        <f>MIN(C12,100)</f>
        <v/>
      </c>
      <c r="E12" s="7">
        <f>(B12-1)/D12</f>
        <v/>
      </c>
      <c r="F12" s="8">
        <f>10*(1-E12)</f>
        <v/>
      </c>
      <c r="G12" s="8">
        <f>MAX(0,MIN(10,F12))</f>
        <v/>
      </c>
    </row>
    <row r="13">
      <c r="A13" s="2" t="inlineStr">
        <is>
          <t>Phase III trial results</t>
        </is>
      </c>
      <c r="B13" s="2" t="n">
        <v>3</v>
      </c>
      <c r="C13" s="2" t="n">
        <v>5</v>
      </c>
      <c r="D13" s="6">
        <f>MIN(C13,100)</f>
        <v/>
      </c>
      <c r="E13" s="7">
        <f>(B13-1)/D13</f>
        <v/>
      </c>
      <c r="F13" s="8">
        <f>10*(1-E13)</f>
        <v/>
      </c>
      <c r="G13" s="8">
        <f>MAX(0,MIN(10,F13))</f>
        <v/>
      </c>
    </row>
    <row r="14">
      <c r="A14" s="2" t="inlineStr">
        <is>
          <t>Epidemiology survey data</t>
        </is>
      </c>
      <c r="B14" s="2" t="n">
        <v>5</v>
      </c>
      <c r="C14" s="2" t="n">
        <v>5</v>
      </c>
      <c r="D14" s="6">
        <f>MIN(C14,100)</f>
        <v/>
      </c>
      <c r="E14" s="7">
        <f>(B14-1)/D14</f>
        <v/>
      </c>
      <c r="F14" s="8">
        <f>10*(1-E14)</f>
        <v/>
      </c>
      <c r="G14" s="8">
        <f>MAX(0,MIN(10,F14))</f>
        <v/>
      </c>
    </row>
    <row r="15">
      <c r="A15" s="2" t="inlineStr">
        <is>
          <t>Single result scenario</t>
        </is>
      </c>
      <c r="B15" s="2" t="n">
        <v>1</v>
      </c>
      <c r="C15" s="2" t="n">
        <v>1</v>
      </c>
      <c r="D15" s="6">
        <f>MIN(C15,100)</f>
        <v/>
      </c>
      <c r="E15" s="7">
        <f>(B15-1)/D15</f>
        <v/>
      </c>
      <c r="F15" s="8">
        <f>10*(1-E15)</f>
        <v/>
      </c>
      <c r="G15" s="8">
        <f>MAX(0,MIN(10,F15))</f>
        <v/>
      </c>
    </row>
    <row r="16"/>
    <row r="17">
      <c r="A17" s="9" t="inlineStr">
        <is>
          <t>Edge case: if total_results &lt;= 0 → returns 5.0 (no formula, hardcoded)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2" customWidth="1" min="4" max="4"/>
    <col width="17" customWidth="1" min="5" max="5"/>
    <col width="16" customWidth="1" min="6" max="6"/>
    <col width="12" customWidth="1" min="7" max="7"/>
    <col width="29" customWidth="1" min="8" max="8"/>
    <col width="40" customWidth="1" min="9" max="9"/>
  </cols>
  <sheetData>
    <row r="1">
      <c r="A1" s="4" t="inlineStr">
        <is>
          <t>Semantic Filter: LLM scores each article 0.0-1.0, then threshold comparison</t>
        </is>
      </c>
    </row>
    <row r="2">
      <c r="A2" s="5" t="inlineStr">
        <is>
          <t>Source: pipeline_service.py:1220-1296, wip_article_service.py:295-335</t>
        </is>
      </c>
    </row>
    <row r="3">
      <c r="A3" s="5" t="inlineStr">
        <is>
          <t>Decision: passed = (filter_score &gt;= threshold)</t>
        </is>
      </c>
    </row>
    <row r="4"/>
    <row r="5">
      <c r="A5" s="10" t="inlineStr">
        <is>
          <t>Configuration</t>
        </is>
      </c>
      <c r="B5" s="10" t="n"/>
      <c r="C5" s="10" t="n"/>
    </row>
    <row r="6">
      <c r="A6" t="inlineStr">
        <is>
          <t>Threshold</t>
        </is>
      </c>
      <c r="B6" s="11" t="n">
        <v>0.7</v>
      </c>
      <c r="C6" s="12" t="inlineStr">
        <is>
          <t>← change this to see pass/fail recalculate</t>
        </is>
      </c>
    </row>
    <row r="7"/>
    <row r="8">
      <c r="A8" s="1" t="inlineStr">
        <is>
          <t>Article ID</t>
        </is>
      </c>
      <c r="B8" s="1" t="inlineStr">
        <is>
          <t>Title</t>
        </is>
      </c>
      <c r="C8" s="1" t="inlineStr">
        <is>
          <t>Abstract Snippet</t>
        </is>
      </c>
      <c r="D8" s="1" t="inlineStr">
        <is>
          <t>Journal</t>
        </is>
      </c>
      <c r="E8" s="1" t="inlineStr">
        <is>
          <t>LLM Score (0-1)</t>
        </is>
      </c>
      <c r="F8" s="1" t="inlineStr">
        <is>
          <t>LLM Confidence</t>
        </is>
      </c>
      <c r="G8" s="1" t="inlineStr">
        <is>
          <t>Threshold</t>
        </is>
      </c>
      <c r="H8" s="1" t="inlineStr">
        <is>
          <t>Passed?</t>
        </is>
      </c>
      <c r="I8" s="1" t="inlineStr">
        <is>
          <t>Reasoning</t>
        </is>
      </c>
    </row>
    <row r="9">
      <c r="A9" s="2" t="inlineStr">
        <is>
          <t>ART-001</t>
        </is>
      </c>
      <c r="B9" s="2" t="inlineStr">
        <is>
          <t>CRISPR gene therapy in sickle cell disease</t>
        </is>
      </c>
      <c r="C9" s="2" t="inlineStr">
        <is>
          <t>We report results of a phase I trial...</t>
        </is>
      </c>
      <c r="D9" s="2" t="inlineStr">
        <is>
          <t>NEJM</t>
        </is>
      </c>
      <c r="E9" s="13" t="n">
        <v>0.92</v>
      </c>
      <c r="F9" s="13" t="n">
        <v>0.95</v>
      </c>
      <c r="G9" s="14">
        <f>$B$6</f>
        <v/>
      </c>
      <c r="H9" s="15">
        <f>IF(E9&gt;=G9,"PASS","FAIL")</f>
        <v/>
      </c>
      <c r="I9" s="2" t="inlineStr">
        <is>
          <t>High relevance to gene therapy criteria</t>
        </is>
      </c>
    </row>
    <row r="10">
      <c r="A10" s="2" t="inlineStr">
        <is>
          <t>ART-002</t>
        </is>
      </c>
      <c r="B10" s="2" t="inlineStr">
        <is>
          <t>Novel CAR-T approach for leukemia</t>
        </is>
      </c>
      <c r="C10" s="2" t="inlineStr">
        <is>
          <t>Chimeric antigen receptor T-cell therapy...</t>
        </is>
      </c>
      <c r="D10" s="2" t="inlineStr">
        <is>
          <t>Blood</t>
        </is>
      </c>
      <c r="E10" s="13" t="n">
        <v>0.85</v>
      </c>
      <c r="F10" s="13" t="n">
        <v>0.88</v>
      </c>
      <c r="G10" s="14">
        <f>$B$6</f>
        <v/>
      </c>
      <c r="H10" s="15">
        <f>IF(E10&gt;=G10,"PASS","FAIL")</f>
        <v/>
      </c>
      <c r="I10" s="2" t="inlineStr">
        <is>
          <t>Strong match to immunotherapy search</t>
        </is>
      </c>
    </row>
    <row r="11">
      <c r="A11" s="2" t="inlineStr">
        <is>
          <t>ART-003</t>
        </is>
      </c>
      <c r="B11" s="2" t="inlineStr">
        <is>
          <t>mRNA vaccine platform review</t>
        </is>
      </c>
      <c r="C11" s="2" t="inlineStr">
        <is>
          <t>A comprehensive review of mRNA technology...</t>
        </is>
      </c>
      <c r="D11" s="2" t="inlineStr">
        <is>
          <t>Nature Reviews</t>
        </is>
      </c>
      <c r="E11" s="13" t="n">
        <v>0.71</v>
      </c>
      <c r="F11" s="13" t="n">
        <v>0.72</v>
      </c>
      <c r="G11" s="14">
        <f>$B$6</f>
        <v/>
      </c>
      <c r="H11" s="15">
        <f>IF(E11&gt;=G11,"PASS","FAIL")</f>
        <v/>
      </c>
      <c r="I11" s="2" t="inlineStr">
        <is>
          <t>Borderline - tangentially related</t>
        </is>
      </c>
    </row>
    <row r="12">
      <c r="A12" s="2" t="inlineStr">
        <is>
          <t>ART-004</t>
        </is>
      </c>
      <c r="B12" s="2" t="inlineStr">
        <is>
          <t>Weather patterns in the Sahara</t>
        </is>
      </c>
      <c r="C12" s="2" t="inlineStr">
        <is>
          <t>Analysis of rainfall patterns shows...</t>
        </is>
      </c>
      <c r="D12" s="2" t="inlineStr">
        <is>
          <t>J Climatology</t>
        </is>
      </c>
      <c r="E12" s="13" t="n">
        <v>0.12</v>
      </c>
      <c r="F12" s="13" t="n">
        <v>0.91</v>
      </c>
      <c r="G12" s="14">
        <f>$B$6</f>
        <v/>
      </c>
      <c r="H12" s="16">
        <f>IF(E12&gt;=G12,"PASS","FAIL")</f>
        <v/>
      </c>
      <c r="I12" s="2" t="inlineStr">
        <is>
          <t>Not relevant to biomedical query</t>
        </is>
      </c>
    </row>
    <row r="13">
      <c r="A13" s="2" t="inlineStr">
        <is>
          <t>ART-005</t>
        </is>
      </c>
      <c r="B13" s="2" t="inlineStr">
        <is>
          <t>Insulin resistance biomarkers</t>
        </is>
      </c>
      <c r="C13" s="2" t="inlineStr">
        <is>
          <t>Novel biomarkers for predicting type 2...</t>
        </is>
      </c>
      <c r="D13" s="2" t="inlineStr">
        <is>
          <t>Diabetes Care</t>
        </is>
      </c>
      <c r="E13" s="13" t="n">
        <v>0.68</v>
      </c>
      <c r="F13" s="13" t="n">
        <v>0.8</v>
      </c>
      <c r="G13" s="14">
        <f>$B$6</f>
        <v/>
      </c>
      <c r="H13" s="16">
        <f>IF(E13&gt;=G13,"PASS","FAIL")</f>
        <v/>
      </c>
      <c r="I13" s="2" t="inlineStr">
        <is>
          <t>Below threshold - weak connection to primary topic</t>
        </is>
      </c>
    </row>
    <row r="14">
      <c r="A14" s="2" t="inlineStr">
        <is>
          <t>ART-006</t>
        </is>
      </c>
      <c r="B14" s="2" t="inlineStr">
        <is>
          <t>Cardiology outcomes meta-analysis</t>
        </is>
      </c>
      <c r="C14" s="2" t="inlineStr">
        <is>
          <t>This meta-analysis of 42 RCTs...</t>
        </is>
      </c>
      <c r="D14" s="2" t="inlineStr">
        <is>
          <t>JAMA Cardiology</t>
        </is>
      </c>
      <c r="E14" s="13" t="n">
        <v>0.45</v>
      </c>
      <c r="F14" s="13" t="n">
        <v>0.85</v>
      </c>
      <c r="G14" s="14">
        <f>$B$6</f>
        <v/>
      </c>
      <c r="H14" s="16">
        <f>IF(E14&gt;=G14,"PASS","FAIL")</f>
        <v/>
      </c>
      <c r="I14" s="2" t="inlineStr">
        <is>
          <t>Different therapeutic area</t>
        </is>
      </c>
    </row>
    <row r="15">
      <c r="A15" s="2" t="inlineStr">
        <is>
          <t>ART-007</t>
        </is>
      </c>
      <c r="B15" s="2" t="inlineStr">
        <is>
          <t>Rare disease gene panel study</t>
        </is>
      </c>
      <c r="C15" s="2" t="inlineStr">
        <is>
          <t>Whole exome sequencing in 200 patients...</t>
        </is>
      </c>
      <c r="D15" s="2" t="inlineStr">
        <is>
          <t>Genetics in Medicine</t>
        </is>
      </c>
      <c r="E15" s="13" t="n">
        <v>0.78</v>
      </c>
      <c r="F15" s="13" t="n">
        <v>0.7</v>
      </c>
      <c r="G15" s="14">
        <f>$B$6</f>
        <v/>
      </c>
      <c r="H15" s="15">
        <f>IF(E15&gt;=G15,"PASS","FAIL")</f>
        <v/>
      </c>
      <c r="I15" s="2" t="inlineStr">
        <is>
          <t>Moderate match - genetic approach relevant</t>
        </is>
      </c>
    </row>
    <row r="16">
      <c r="A16" s="2" t="inlineStr">
        <is>
          <t>ART-008</t>
        </is>
      </c>
      <c r="B16" s="2" t="inlineStr">
        <is>
          <t>Cooking recipes for healthy living</t>
        </is>
      </c>
      <c r="C16" s="2" t="inlineStr">
        <is>
          <t>A guide to Mediterranean diet...</t>
        </is>
      </c>
      <c r="D16" s="2" t="inlineStr">
        <is>
          <t>Food Science</t>
        </is>
      </c>
      <c r="E16" s="13" t="n">
        <v>0.05</v>
      </c>
      <c r="F16" s="13" t="n">
        <v>0.97</v>
      </c>
      <c r="G16" s="14">
        <f>$B$6</f>
        <v/>
      </c>
      <c r="H16" s="16">
        <f>IF(E16&gt;=G16,"PASS","FAIL")</f>
        <v/>
      </c>
      <c r="I16" s="2" t="inlineStr">
        <is>
          <t>Completely off-topic</t>
        </is>
      </c>
    </row>
    <row r="17"/>
    <row r="18">
      <c r="A18" s="10" t="inlineStr">
        <is>
          <t>Summary</t>
        </is>
      </c>
      <c r="B18" s="10" t="n"/>
      <c r="C18" s="10" t="n"/>
      <c r="D18" s="10" t="n"/>
    </row>
    <row r="19">
      <c r="A19" t="inlineStr">
        <is>
          <t>Total Articles</t>
        </is>
      </c>
      <c r="B19" s="17">
        <f>COUNTA(A9:A16)</f>
        <v/>
      </c>
    </row>
    <row r="20">
      <c r="A20" t="inlineStr">
        <is>
          <t>Passed</t>
        </is>
      </c>
      <c r="B20" s="17">
        <f>COUNTIF(H9:H16,"PASS")</f>
        <v/>
      </c>
    </row>
    <row r="21">
      <c r="A21" t="inlineStr">
        <is>
          <t>Rejected</t>
        </is>
      </c>
      <c r="B21" s="17">
        <f>COUNTIF(H9:H16,"FAIL")</f>
        <v/>
      </c>
    </row>
    <row r="22">
      <c r="A22" t="inlineStr">
        <is>
          <t>Pass Rate</t>
        </is>
      </c>
      <c r="B22" s="18">
        <f>B20/B19</f>
        <v/>
      </c>
    </row>
    <row r="23"/>
    <row r="24">
      <c r="A24" s="3" t="inlineStr">
        <is>
          <t>LLM Prompt Template (from pipeline_service.py:1260-1270)</t>
        </is>
      </c>
    </row>
    <row r="25">
      <c r="A25" s="5" t="inlineStr">
        <is>
          <t>## Article</t>
        </is>
      </c>
    </row>
    <row r="26">
      <c r="A26" s="5" t="inlineStr">
        <is>
          <t>Title: {title}</t>
        </is>
      </c>
    </row>
    <row r="27">
      <c r="A27" s="5" t="inlineStr">
        <is>
          <t>Abstract: {abstract}</t>
        </is>
      </c>
    </row>
    <row r="28">
      <c r="A28" s="5" t="inlineStr">
        <is>
          <t>AI Summary: {summary}</t>
        </is>
      </c>
    </row>
    <row r="29">
      <c r="A29" s="5" t="inlineStr">
        <is>
          <t>Journal: {journal}</t>
        </is>
      </c>
    </row>
    <row r="30">
      <c r="A30" s="5" t="inlineStr">
        <is>
          <t>Authors: {authors}</t>
        </is>
      </c>
    </row>
    <row r="31">
      <c r="A31" s="5" t="inlineStr"/>
    </row>
    <row r="32">
      <c r="A32" s="5" t="inlineStr">
        <is>
          <t>## Task</t>
        </is>
      </c>
    </row>
    <row r="33">
      <c r="A33" s="5" t="inlineStr">
        <is>
          <t>{filter_criteria}</t>
        </is>
      </c>
    </row>
    <row r="34">
      <c r="A34" s="5" t="inlineStr"/>
    </row>
    <row r="35">
      <c r="A35" s="5" t="inlineStr">
        <is>
          <t>Score from {min_value} to {max_value}.</t>
        </is>
      </c>
    </row>
  </sheetData>
  <mergeCells count="2">
    <mergeCell ref="A1:I1"/>
    <mergeCell ref="A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12" customWidth="1" min="4" max="4"/>
    <col width="27" customWidth="1" min="5" max="5"/>
    <col width="40" customWidth="1" min="6" max="6"/>
    <col width="40" customWidth="1" min="7" max="7"/>
  </cols>
  <sheetData>
    <row r="1">
      <c r="A1" s="4" t="inlineStr">
        <is>
          <t>Iterative Answer Generation: generate → evaluate → feedback → repeat</t>
        </is>
      </c>
    </row>
    <row r="2">
      <c r="A2" s="5" t="inlineStr">
        <is>
          <t>Source: iterative_answer_service.py:27-183</t>
        </is>
      </c>
    </row>
    <row r="3">
      <c r="A3" s="5" t="inlineStr">
        <is>
          <t>Decision: if eval_score &gt;= threshold → ACCEPT, else → iterate with feedback (up to max_iterations)</t>
        </is>
      </c>
    </row>
    <row r="4"/>
    <row r="5">
      <c r="A5" s="10" t="inlineStr">
        <is>
          <t>Configuration</t>
        </is>
      </c>
      <c r="B5" s="10" t="n"/>
      <c r="C5" s="10" t="n"/>
      <c r="D5" s="10" t="n"/>
    </row>
    <row r="6">
      <c r="A6" t="inlineStr">
        <is>
          <t>Score Threshold</t>
        </is>
      </c>
      <c r="B6" s="11" t="n">
        <v>0.8</v>
      </c>
    </row>
    <row r="7">
      <c r="A7" t="inlineStr">
        <is>
          <t>Max Iterations</t>
        </is>
      </c>
      <c r="B7" t="n">
        <v>3</v>
      </c>
    </row>
    <row r="8">
      <c r="A8" t="inlineStr">
        <is>
          <t>Score Range</t>
        </is>
      </c>
      <c r="B8" t="inlineStr">
        <is>
          <t>0.0 - 1.0 (LLM-assigned)</t>
        </is>
      </c>
    </row>
    <row r="9"/>
    <row r="10">
      <c r="A10" s="1" t="inlineStr">
        <is>
          <t>Iteration</t>
        </is>
      </c>
      <c r="B10" s="1" t="inlineStr">
        <is>
          <t>Phase</t>
        </is>
      </c>
      <c r="C10" s="1" t="inlineStr">
        <is>
          <t>LLM Score (0-1)</t>
        </is>
      </c>
      <c r="D10" s="1" t="inlineStr">
        <is>
          <t>Threshold</t>
        </is>
      </c>
      <c r="E10" s="1" t="inlineStr">
        <is>
          <t>Meets Threshold?</t>
        </is>
      </c>
      <c r="F10" s="1" t="inlineStr">
        <is>
          <t>Action</t>
        </is>
      </c>
      <c r="G10" s="1" t="inlineStr">
        <is>
          <t>Feedback Summary</t>
        </is>
      </c>
    </row>
    <row r="11">
      <c r="A11" s="2" t="n">
        <v>1</v>
      </c>
      <c r="B11" s="2" t="inlineStr">
        <is>
          <t>Generate + Evaluate</t>
        </is>
      </c>
      <c r="C11" s="13" t="n">
        <v>0.55</v>
      </c>
      <c r="D11" s="14">
        <f>$B$6</f>
        <v/>
      </c>
      <c r="E11" s="6">
        <f>IF(C11&gt;=$B$6,"YES","NO")</f>
        <v/>
      </c>
      <c r="F11" s="6">
        <f>IF(C11&gt;=$B$6,"ACCEPT",IF(A11&lt;$B$7,"RETRY with feedback","RETURN BEST"))</f>
        <v/>
      </c>
      <c r="G11" s="2" t="inlineStr">
        <is>
          <t>Answer lacks specificity; missing citations</t>
        </is>
      </c>
    </row>
    <row r="12">
      <c r="A12" s="2" t="n">
        <v>2</v>
      </c>
      <c r="B12" s="2" t="inlineStr">
        <is>
          <t>Generate + Evaluate</t>
        </is>
      </c>
      <c r="C12" s="13" t="n">
        <v>0.72</v>
      </c>
      <c r="D12" s="14">
        <f>$B$6</f>
        <v/>
      </c>
      <c r="E12" s="6">
        <f>IF(C12&gt;=$B$6,"YES","NO")</f>
        <v/>
      </c>
      <c r="F12" s="6">
        <f>IF(C12&gt;=$B$6,"ACCEPT",IF(A12&lt;$B$7,"RETRY with feedback","RETURN BEST"))</f>
        <v/>
      </c>
      <c r="G12" s="2" t="inlineStr">
        <is>
          <t>Improved detail but weak conclusion</t>
        </is>
      </c>
    </row>
    <row r="13">
      <c r="A13" s="2" t="n">
        <v>3</v>
      </c>
      <c r="B13" s="2" t="inlineStr">
        <is>
          <t>Generate + Evaluate</t>
        </is>
      </c>
      <c r="C13" s="13" t="n">
        <v>0.84</v>
      </c>
      <c r="D13" s="14">
        <f>$B$6</f>
        <v/>
      </c>
      <c r="E13" s="6">
        <f>IF(C13&gt;=$B$6,"YES","NO")</f>
        <v/>
      </c>
      <c r="F13" s="6">
        <f>IF(C13&gt;=$B$6,"ACCEPT",IF(A13&lt;$B$7,"RETRY with feedback","RETURN BEST"))</f>
        <v/>
      </c>
      <c r="G13" s="2" t="inlineStr">
        <is>
          <t>Meets criteria</t>
        </is>
      </c>
    </row>
    <row r="14"/>
    <row r="15">
      <c r="A15" s="10" t="inlineStr">
        <is>
          <t>Outcome</t>
        </is>
      </c>
      <c r="B15" s="10" t="n"/>
      <c r="C15" s="10" t="n"/>
      <c r="D15" s="10" t="n"/>
    </row>
    <row r="16">
      <c r="A16" t="inlineStr">
        <is>
          <t>Best Score</t>
        </is>
      </c>
      <c r="B16" s="19">
        <f>MAX(C11:C13)</f>
        <v/>
      </c>
    </row>
    <row r="17">
      <c r="A17" t="inlineStr">
        <is>
          <t>Success?</t>
        </is>
      </c>
      <c r="B17" s="17">
        <f>IF(B16&gt;=$B$6,"YES","NO")</f>
        <v/>
      </c>
    </row>
    <row r="18">
      <c r="A18" t="inlineStr">
        <is>
          <t>Total Iterations Used</t>
        </is>
      </c>
      <c r="B18" s="17">
        <f>COUNTA(A11:A13)</f>
        <v/>
      </c>
    </row>
    <row r="19"/>
    <row r="20"/>
    <row r="21">
      <c r="A21" s="3" t="inlineStr">
        <is>
          <t>Example 2: Max iterations reached (failure case)</t>
        </is>
      </c>
    </row>
    <row r="22">
      <c r="A22" s="1" t="inlineStr">
        <is>
          <t>Iteration</t>
        </is>
      </c>
      <c r="B22" s="1" t="inlineStr">
        <is>
          <t>Phase</t>
        </is>
      </c>
      <c r="C22" s="1" t="inlineStr">
        <is>
          <t>LLM Score</t>
        </is>
      </c>
      <c r="D22" s="1" t="inlineStr">
        <is>
          <t>Threshold</t>
        </is>
      </c>
      <c r="E22" s="1" t="inlineStr">
        <is>
          <t>Meets?</t>
        </is>
      </c>
      <c r="F22" s="1" t="inlineStr">
        <is>
          <t>Action</t>
        </is>
      </c>
      <c r="G22" s="1" t="inlineStr">
        <is>
          <t>Feedback</t>
        </is>
      </c>
    </row>
    <row r="23">
      <c r="A23" s="2" t="n">
        <v>1</v>
      </c>
      <c r="B23" s="2" t="inlineStr">
        <is>
          <t>Generate + Evaluate</t>
        </is>
      </c>
      <c r="C23" s="13" t="n">
        <v>0.35</v>
      </c>
      <c r="D23" s="6">
        <f>$B$6</f>
        <v/>
      </c>
      <c r="E23" s="6">
        <f>IF(C23&gt;=$B$6,"YES","NO")</f>
        <v/>
      </c>
      <c r="F23" s="6">
        <f>IF(C23&gt;=$B$6,"ACCEPT",IF(A23&lt;$B$7,"RETRY","RETURN BEST"))</f>
        <v/>
      </c>
      <c r="G23" s="2" t="inlineStr">
        <is>
          <t>Completely off-topic response</t>
        </is>
      </c>
    </row>
    <row r="24">
      <c r="A24" s="2" t="n">
        <v>2</v>
      </c>
      <c r="B24" s="2" t="inlineStr">
        <is>
          <t>Generate + Evaluate</t>
        </is>
      </c>
      <c r="C24" s="13" t="n">
        <v>0.52</v>
      </c>
      <c r="D24" s="6">
        <f>$B$6</f>
        <v/>
      </c>
      <c r="E24" s="6">
        <f>IF(C24&gt;=$B$6,"YES","NO")</f>
        <v/>
      </c>
      <c r="F24" s="6">
        <f>IF(C24&gt;=$B$6,"ACCEPT",IF(A24&lt;$B$7,"RETRY","RETURN BEST"))</f>
        <v/>
      </c>
      <c r="G24" s="2" t="inlineStr">
        <is>
          <t>Better but still lacks depth</t>
        </is>
      </c>
    </row>
    <row r="25">
      <c r="A25" s="2" t="n">
        <v>3</v>
      </c>
      <c r="B25" s="2" t="inlineStr">
        <is>
          <t>Generate + Evaluate</t>
        </is>
      </c>
      <c r="C25" s="13" t="n">
        <v>0.61</v>
      </c>
      <c r="D25" s="6">
        <f>$B$6</f>
        <v/>
      </c>
      <c r="E25" s="6">
        <f>IF(C25&gt;=$B$6,"YES","NO")</f>
        <v/>
      </c>
      <c r="F25" s="6">
        <f>IF(C25&gt;=$B$6,"ACCEPT",IF(A25&lt;$B$7,"RETRY","RETURN BEST"))</f>
        <v/>
      </c>
      <c r="G25" s="2" t="inlineStr">
        <is>
          <t>Improved but below 0.8 threshold</t>
        </is>
      </c>
    </row>
    <row r="26">
      <c r="A26" s="20" t="inlineStr">
        <is>
          <t>Outcome: success=False, returns best answer (iteration with max score)</t>
        </is>
      </c>
    </row>
    <row r="27">
      <c r="A27" t="inlineStr">
        <is>
          <t>Best Score</t>
        </is>
      </c>
      <c r="B27" s="19">
        <f>MAX(C23:C25)</f>
        <v/>
      </c>
    </row>
  </sheetData>
  <mergeCells count="2">
    <mergeCell ref="A21:F2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1" customWidth="1" min="5" max="5"/>
    <col width="24" customWidth="1" min="6" max="6"/>
    <col width="20" customWidth="1" min="7" max="7"/>
    <col width="30" customWidth="1" min="8" max="8"/>
    <col width="40" customWidth="1" min="9" max="9"/>
  </cols>
  <sheetData>
    <row r="1">
      <c r="A1" s="4" t="inlineStr">
        <is>
          <t>Deep Research: Two-tier evaluation with second opinion on low-confidence passes</t>
        </is>
      </c>
    </row>
    <row r="2">
      <c r="A2" s="5" t="inlineStr">
        <is>
          <t>Source: deep_research_service.py:439-572</t>
        </is>
      </c>
    </row>
    <row r="3"/>
    <row r="4">
      <c r="A4" s="10" t="inlineStr">
        <is>
          <t>Configuration</t>
        </is>
      </c>
      <c r="B4" s="10" t="n"/>
      <c r="C4" s="10" t="n"/>
      <c r="D4" s="10" t="n"/>
    </row>
    <row r="5">
      <c r="A5" t="inlineStr">
        <is>
          <t>Confidence Threshold</t>
        </is>
      </c>
      <c r="B5" s="11" t="n">
        <v>0.8</v>
      </c>
      <c r="C5" s="12" t="inlineStr">
        <is>
          <t>← Below this, PASS triggers second opinion</t>
        </is>
      </c>
    </row>
    <row r="6">
      <c r="A6" t="inlineStr">
        <is>
          <t>Min Sources</t>
        </is>
      </c>
      <c r="B6" t="n">
        <v>3</v>
      </c>
    </row>
    <row r="7">
      <c r="A7" t="inlineStr">
        <is>
          <t>Max Iterations</t>
        </is>
      </c>
      <c r="B7" t="n">
        <v>10</v>
      </c>
    </row>
    <row r="8">
      <c r="A8" t="inlineStr">
        <is>
          <t>Timeout</t>
        </is>
      </c>
      <c r="B8" t="inlineStr">
        <is>
          <t>600s (10 min)</t>
        </is>
      </c>
    </row>
    <row r="9"/>
    <row r="10">
      <c r="A10" s="10" t="inlineStr">
        <is>
          <t>Evaluation Decision Tree</t>
        </is>
      </c>
      <c r="B10" s="10" t="n"/>
      <c r="C10" s="10" t="n"/>
      <c r="D10" s="10" t="n"/>
      <c r="E10" s="10" t="n"/>
      <c r="F10" s="10" t="n"/>
    </row>
    <row r="11">
      <c r="A11" s="1" t="inlineStr">
        <is>
          <t>First Evaluator Result</t>
        </is>
      </c>
      <c r="B11" s="1" t="inlineStr">
        <is>
          <t>Confidence</t>
        </is>
      </c>
      <c r="C11" s="1" t="inlineStr">
        <is>
          <t>Path</t>
        </is>
      </c>
      <c r="D11" s="1" t="inlineStr">
        <is>
          <t>Next Action</t>
        </is>
      </c>
    </row>
    <row r="12">
      <c r="A12" s="2" t="inlineStr">
        <is>
          <t>FAIL</t>
        </is>
      </c>
      <c r="B12" s="2" t="inlineStr">
        <is>
          <t>any</t>
        </is>
      </c>
      <c r="C12" s="2" t="inlineStr">
        <is>
          <t>→ Continue Loop</t>
        </is>
      </c>
      <c r="D12" s="2" t="inlineStr">
        <is>
          <t>Return gaps, search for more info</t>
        </is>
      </c>
    </row>
    <row r="13">
      <c r="A13" s="2" t="inlineStr">
        <is>
          <t>PASS</t>
        </is>
      </c>
      <c r="B13" s="2" t="inlineStr">
        <is>
          <t>&lt; threshold (e.g. 0.65)</t>
        </is>
      </c>
      <c r="C13" s="2" t="inlineStr">
        <is>
          <t>→ Second Opinion</t>
        </is>
      </c>
      <c r="D13" s="2" t="inlineStr">
        <is>
          <t>Another LLM reviews the assessment</t>
        </is>
      </c>
    </row>
    <row r="14">
      <c r="A14" s="2" t="inlineStr">
        <is>
          <t>PASS</t>
        </is>
      </c>
      <c r="B14" s="2" t="inlineStr">
        <is>
          <t>&gt;= threshold (e.g. 0.90)</t>
        </is>
      </c>
      <c r="C14" s="2" t="inlineStr">
        <is>
          <t>→ Exit Loop</t>
        </is>
      </c>
      <c r="D14" s="2" t="inlineStr">
        <is>
          <t>Research is sufficient, synthesize answer</t>
        </is>
      </c>
    </row>
    <row r="15"/>
    <row r="16">
      <c r="A16" s="10" t="inlineStr">
        <is>
          <t>Second Opinion Outcomes</t>
        </is>
      </c>
      <c r="B16" s="10" t="n"/>
      <c r="C16" s="10" t="n"/>
      <c r="D16" s="10" t="n"/>
      <c r="E16" s="10" t="n"/>
      <c r="F16" s="10" t="n"/>
    </row>
    <row r="17">
      <c r="A17" s="1" t="inlineStr">
        <is>
          <t>Second Opinion Result</t>
        </is>
      </c>
      <c r="B17" s="1" t="inlineStr">
        <is>
          <t>Action</t>
        </is>
      </c>
    </row>
    <row r="18">
      <c r="A18" s="2" t="inlineStr">
        <is>
          <t>confirmed = True</t>
        </is>
      </c>
      <c r="B18" s="2" t="inlineStr">
        <is>
          <t>Accept research as sufficient, exit loop</t>
        </is>
      </c>
    </row>
    <row r="19">
      <c r="A19" s="2" t="inlineStr">
        <is>
          <t>confirmed = False</t>
        </is>
      </c>
      <c r="B19" s="2" t="inlineStr">
        <is>
          <t>Replace evaluation with second opinion's gaps, continue loop</t>
        </is>
      </c>
    </row>
    <row r="20"/>
    <row r="21">
      <c r="A21" s="10" t="inlineStr">
        <is>
          <t>Example Research Trace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" t="inlineStr">
        <is>
          <t>Iteration</t>
        </is>
      </c>
      <c r="B22" s="1" t="inlineStr">
        <is>
          <t>Action</t>
        </is>
      </c>
      <c r="C22" s="1" t="inlineStr">
        <is>
          <t>Sources Found</t>
        </is>
      </c>
      <c r="D22" s="1" t="inlineStr">
        <is>
          <t>Total Sources</t>
        </is>
      </c>
      <c r="E22" s="1" t="inlineStr">
        <is>
          <t>First Eval: Passed?</t>
        </is>
      </c>
      <c r="F22" s="1" t="inlineStr">
        <is>
          <t>First Eval: Confidence</t>
        </is>
      </c>
      <c r="G22" s="1" t="inlineStr">
        <is>
          <t>Needs 2nd Opinion?</t>
        </is>
      </c>
      <c r="H22" s="1" t="inlineStr">
        <is>
          <t>2nd Opinion Result</t>
        </is>
      </c>
      <c r="I22" s="1" t="inlineStr">
        <is>
          <t>Loop Decision</t>
        </is>
      </c>
    </row>
    <row r="23">
      <c r="A23" s="2" t="n">
        <v>1</v>
      </c>
      <c r="B23" s="2" t="inlineStr">
        <is>
          <t>PubMed search: 'CRISPR sickle cell'</t>
        </is>
      </c>
      <c r="C23" s="2" t="n">
        <v>4</v>
      </c>
      <c r="D23" s="2" t="n">
        <v>4</v>
      </c>
      <c r="E23" s="2" t="inlineStr">
        <is>
          <t>FAIL</t>
        </is>
      </c>
      <c r="F23" s="13" t="n">
        <v>0.3</v>
      </c>
      <c r="G23" s="2" t="inlineStr">
        <is>
          <t>N/A</t>
        </is>
      </c>
      <c r="H23" s="2" t="inlineStr">
        <is>
          <t>N/A</t>
        </is>
      </c>
      <c r="I23" s="2" t="inlineStr">
        <is>
          <t>Continue - 3 gaps found</t>
        </is>
      </c>
    </row>
    <row r="24">
      <c r="A24" s="2" t="n">
        <v>2</v>
      </c>
      <c r="B24" s="2" t="inlineStr">
        <is>
          <t>Web search: 'FDA CRISPR approval 2024'</t>
        </is>
      </c>
      <c r="C24" s="2" t="n">
        <v>3</v>
      </c>
      <c r="D24" s="2" t="n">
        <v>7</v>
      </c>
      <c r="E24" s="2" t="inlineStr">
        <is>
          <t>FAIL</t>
        </is>
      </c>
      <c r="F24" s="13" t="n">
        <v>0.55</v>
      </c>
      <c r="G24" s="2" t="inlineStr">
        <is>
          <t>N/A</t>
        </is>
      </c>
      <c r="H24" s="2" t="inlineStr">
        <is>
          <t>N/A</t>
        </is>
      </c>
      <c r="I24" s="2" t="inlineStr">
        <is>
          <t>Continue - 1 gap remaining</t>
        </is>
      </c>
    </row>
    <row r="25">
      <c r="A25" s="2" t="n">
        <v>3</v>
      </c>
      <c r="B25" s="2" t="inlineStr">
        <is>
          <t>PubMed search: 'Casgevy outcomes'</t>
        </is>
      </c>
      <c r="C25" s="2" t="n">
        <v>2</v>
      </c>
      <c r="D25" s="2" t="n">
        <v>9</v>
      </c>
      <c r="E25" s="2" t="inlineStr">
        <is>
          <t>PASS</t>
        </is>
      </c>
      <c r="F25" s="13" t="n">
        <v>0.65</v>
      </c>
      <c r="G25" s="2" t="inlineStr">
        <is>
          <t>YES (0.65 &lt; 0.8)</t>
        </is>
      </c>
      <c r="H25" s="2" t="inlineStr">
        <is>
          <t>confirmed=True, conf=0.78</t>
        </is>
      </c>
      <c r="I25" s="2" t="inlineStr">
        <is>
          <t>EXIT - 2nd opinion confirmed</t>
        </is>
      </c>
    </row>
    <row r="26"/>
    <row r="27">
      <c r="A27" s="3" t="inlineStr">
        <is>
          <t>Alternative: Second opinion finds more gaps</t>
        </is>
      </c>
    </row>
    <row r="28">
      <c r="A28" s="1" t="inlineStr">
        <is>
          <t>Iteration</t>
        </is>
      </c>
      <c r="B28" s="1" t="inlineStr">
        <is>
          <t>Action</t>
        </is>
      </c>
      <c r="C28" s="1" t="inlineStr">
        <is>
          <t>Sources Found</t>
        </is>
      </c>
      <c r="D28" s="1" t="inlineStr">
        <is>
          <t>Total Sources</t>
        </is>
      </c>
      <c r="E28" s="1" t="inlineStr">
        <is>
          <t>First Eval: Passed?</t>
        </is>
      </c>
      <c r="F28" s="1" t="inlineStr">
        <is>
          <t>First Eval: Confidence</t>
        </is>
      </c>
      <c r="G28" s="1" t="inlineStr">
        <is>
          <t>Needs 2nd Opinion?</t>
        </is>
      </c>
      <c r="H28" s="1" t="inlineStr">
        <is>
          <t>2nd Opinion Result</t>
        </is>
      </c>
      <c r="I28" s="1" t="inlineStr">
        <is>
          <t>Loop Decision</t>
        </is>
      </c>
    </row>
    <row r="29">
      <c r="A29" s="2" t="n">
        <v>1</v>
      </c>
      <c r="B29" s="2" t="inlineStr">
        <is>
          <t>PubMed search</t>
        </is>
      </c>
      <c r="C29" s="2" t="n">
        <v>5</v>
      </c>
      <c r="D29" s="2" t="n">
        <v>5</v>
      </c>
      <c r="E29" s="2" t="inlineStr">
        <is>
          <t>FAIL</t>
        </is>
      </c>
      <c r="F29" s="13" t="n">
        <v>0.4</v>
      </c>
      <c r="G29" s="2" t="inlineStr">
        <is>
          <t>N/A</t>
        </is>
      </c>
      <c r="H29" s="2" t="inlineStr">
        <is>
          <t>N/A</t>
        </is>
      </c>
      <c r="I29" s="2" t="inlineStr">
        <is>
          <t>Continue</t>
        </is>
      </c>
    </row>
    <row r="30">
      <c r="A30" s="2" t="n">
        <v>2</v>
      </c>
      <c r="B30" s="2" t="inlineStr">
        <is>
          <t>Web search</t>
        </is>
      </c>
      <c r="C30" s="2" t="n">
        <v>3</v>
      </c>
      <c r="D30" s="2" t="n">
        <v>8</v>
      </c>
      <c r="E30" s="2" t="inlineStr">
        <is>
          <t>PASS</t>
        </is>
      </c>
      <c r="F30" s="13" t="n">
        <v>0.62</v>
      </c>
      <c r="G30" s="2" t="inlineStr">
        <is>
          <t>YES (0.62 &lt; 0.8)</t>
        </is>
      </c>
      <c r="H30" s="2" t="inlineStr">
        <is>
          <t>confirmed=False, 2 more gaps</t>
        </is>
      </c>
      <c r="I30" s="2" t="inlineStr">
        <is>
          <t>CONTINUE - evaluation replaced with 2nd opinion gaps</t>
        </is>
      </c>
    </row>
    <row r="31">
      <c r="A31" s="2" t="n">
        <v>3</v>
      </c>
      <c r="B31" s="2" t="inlineStr">
        <is>
          <t>PubMed search (targeted)</t>
        </is>
      </c>
      <c r="C31" s="2" t="n">
        <v>2</v>
      </c>
      <c r="D31" s="2" t="n">
        <v>10</v>
      </c>
      <c r="E31" s="2" t="inlineStr">
        <is>
          <t>PASS</t>
        </is>
      </c>
      <c r="F31" s="13" t="n">
        <v>0.88</v>
      </c>
      <c r="G31" s="2" t="inlineStr">
        <is>
          <t>NO (0.88 &gt;= 0.8)</t>
        </is>
      </c>
      <c r="H31" s="2" t="inlineStr">
        <is>
          <t>N/A</t>
        </is>
      </c>
      <c r="I31" s="2" t="inlineStr">
        <is>
          <t>EXIT - high confidence pass</t>
        </is>
      </c>
    </row>
  </sheetData>
  <mergeCells count="2">
    <mergeCell ref="A1:I1"/>
    <mergeCell ref="A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0" customWidth="1" min="3" max="3"/>
    <col width="40" customWidth="1" min="4" max="4"/>
    <col width="37" customWidth="1" min="5" max="5"/>
    <col width="40" customWidth="1" min="6" max="6"/>
    <col width="18" customWidth="1" min="7" max="7"/>
    <col width="40" customWidth="1" min="8" max="8"/>
    <col width="40" customWidth="1" min="9" max="9"/>
  </cols>
  <sheetData>
    <row r="1">
      <c r="A1" s="4" t="inlineStr">
        <is>
          <t>End-to-End Pipeline: How scores flow from search to report</t>
        </is>
      </c>
    </row>
    <row r="2">
      <c r="A2" s="5" t="inlineStr">
        <is>
          <t>Source: pipeline_service.py (orchestrates all stages)</t>
        </is>
      </c>
    </row>
    <row r="3"/>
    <row r="4">
      <c r="A4" s="10" t="inlineStr">
        <is>
          <t>Pipeline Stages (in execution order)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" t="inlineStr">
        <is>
          <t>Stage</t>
        </is>
      </c>
      <c r="B5" s="1" t="inlineStr">
        <is>
          <t>Input</t>
        </is>
      </c>
      <c r="C5" s="1" t="inlineStr">
        <is>
          <t>Scoring Method</t>
        </is>
      </c>
      <c r="D5" s="1" t="inlineStr">
        <is>
          <t>Output</t>
        </is>
      </c>
      <c r="E5" s="1" t="inlineStr">
        <is>
          <t>Stored In</t>
        </is>
      </c>
      <c r="F5" s="1" t="inlineStr">
        <is>
          <t>Decision Logic</t>
        </is>
      </c>
    </row>
    <row r="6">
      <c r="A6" s="2" t="inlineStr">
        <is>
          <t>1. Article Retrieval</t>
        </is>
      </c>
      <c r="B6" s="2" t="inlineStr">
        <is>
          <t>Search queries → search providers</t>
        </is>
      </c>
      <c r="C6" s="2" t="inlineStr">
        <is>
          <t>Position-based: 10×(1-(pos-1)/min(total,100))</t>
        </is>
      </c>
      <c r="D6" s="2" t="inlineStr">
        <is>
          <t>relevance_score (0-10)</t>
        </is>
      </c>
      <c r="E6" s="2" t="inlineStr">
        <is>
          <t>WipArticle (initially)</t>
        </is>
      </c>
      <c r="F6" s="2" t="inlineStr">
        <is>
          <t>All results included</t>
        </is>
      </c>
    </row>
    <row r="7">
      <c r="A7" s="2" t="inlineStr">
        <is>
          <t>2. Deduplication</t>
        </is>
      </c>
      <c r="B7" s="2" t="inlineStr">
        <is>
          <t>WipArticles from retrieval</t>
        </is>
      </c>
      <c r="C7" s="2" t="inlineStr">
        <is>
          <t>None (exact match on DOI/title)</t>
        </is>
      </c>
      <c r="D7" s="2" t="inlineStr">
        <is>
          <t>is_duplicate flag</t>
        </is>
      </c>
      <c r="E7" s="2" t="inlineStr">
        <is>
          <t>WipArticle.is_duplicate</t>
        </is>
      </c>
      <c r="F7" s="2" t="inlineStr">
        <is>
          <t>Duplicates excluded from further stages</t>
        </is>
      </c>
    </row>
    <row r="8">
      <c r="A8" s="2" t="inlineStr">
        <is>
          <t>3. Semantic Filtering</t>
        </is>
      </c>
      <c r="B8" s="2" t="inlineStr">
        <is>
          <t>Non-duplicate WipArticles</t>
        </is>
      </c>
      <c r="C8" s="2" t="inlineStr">
        <is>
          <t>LLM score() → 0.0-1.0</t>
        </is>
      </c>
      <c r="D8" s="2" t="inlineStr">
        <is>
          <t>filter_score + reasoning</t>
        </is>
      </c>
      <c r="E8" s="2" t="inlineStr">
        <is>
          <t>WipArticle.filter_score</t>
        </is>
      </c>
      <c r="F8" s="2" t="inlineStr">
        <is>
          <t>passed = (score &gt;= threshold, default 0.7)</t>
        </is>
      </c>
    </row>
    <row r="9">
      <c r="A9" s="2" t="inlineStr">
        <is>
          <t>4. Report Creation</t>
        </is>
      </c>
      <c r="B9" s="2" t="inlineStr">
        <is>
          <t>Passed articles</t>
        </is>
      </c>
      <c r="C9" s="2" t="inlineStr">
        <is>
          <t>None (inclusion only)</t>
        </is>
      </c>
      <c r="D9" s="2" t="inlineStr">
        <is>
          <t>ReportArticleAssociation</t>
        </is>
      </c>
      <c r="E9" s="2" t="inlineStr">
        <is>
          <t>report_article_association table</t>
        </is>
      </c>
      <c r="F9" s="2" t="inlineStr">
        <is>
          <t>filter_score → relevance_score</t>
        </is>
      </c>
    </row>
    <row r="10">
      <c r="A10" s="2" t="inlineStr">
        <is>
          <t>5. Categorization</t>
        </is>
      </c>
      <c r="B10" s="2" t="inlineStr">
        <is>
          <t>Report articles</t>
        </is>
      </c>
      <c r="C10" s="2" t="inlineStr">
        <is>
          <t>LLM classification</t>
        </is>
      </c>
      <c r="D10" s="2" t="inlineStr">
        <is>
          <t>Category assignments</t>
        </is>
      </c>
      <c r="E10" s="2" t="inlineStr">
        <is>
          <t>ReportArticleAssociation.categories</t>
        </is>
      </c>
      <c r="F10" s="2" t="inlineStr">
        <is>
          <t>Articles assigned to stream categories</t>
        </is>
      </c>
    </row>
    <row r="11">
      <c r="A11" s="2" t="inlineStr">
        <is>
          <t>6. Enrichment</t>
        </is>
      </c>
      <c r="B11" s="2" t="inlineStr">
        <is>
          <t>Report + categorized articles</t>
        </is>
      </c>
      <c r="C11" s="2" t="inlineStr">
        <is>
          <t>LLM summarization</t>
        </is>
      </c>
      <c r="D11" s="2" t="inlineStr">
        <is>
          <t>Executive summary, category summaries</t>
        </is>
      </c>
      <c r="E11" s="2" t="inlineStr">
        <is>
          <t>Report.enrichments (JSON)</t>
        </is>
      </c>
      <c r="F11" s="2" t="inlineStr">
        <is>
          <t>N/A - all articles enriched</t>
        </is>
      </c>
    </row>
    <row r="12"/>
    <row r="13">
      <c r="A13" s="10" t="inlineStr">
        <is>
          <t>Worked Example: 6 articles through the pipeline</t>
        </is>
      </c>
      <c r="B13" s="10" t="n"/>
      <c r="C13" s="10" t="n"/>
      <c r="D13" s="10" t="n"/>
      <c r="E13" s="10" t="n"/>
      <c r="F13" s="10" t="n"/>
      <c r="G13" s="10" t="n"/>
      <c r="H13" s="10" t="inlineStr">
        <is>
          <t>Threshold:</t>
        </is>
      </c>
      <c r="I13" s="21" t="n">
        <v>0.7</v>
      </c>
    </row>
    <row r="14">
      <c r="A14" s="1" t="inlineStr">
        <is>
          <t>Article</t>
        </is>
      </c>
      <c r="B14" s="1" t="inlineStr">
        <is>
          <t>Search Position</t>
        </is>
      </c>
      <c r="C14" s="1" t="inlineStr">
        <is>
          <t>Total Results</t>
        </is>
      </c>
      <c r="D14" s="1" t="inlineStr">
        <is>
          <t>Relevance Score (0-10)</t>
        </is>
      </c>
      <c r="E14" s="1" t="inlineStr">
        <is>
          <t>Is Duplicate?</t>
        </is>
      </c>
      <c r="F14" s="1" t="inlineStr">
        <is>
          <t>Filter Score (0-1)</t>
        </is>
      </c>
      <c r="G14" s="1" t="inlineStr">
        <is>
          <t>Filter Threshold</t>
        </is>
      </c>
      <c r="H14" s="1" t="inlineStr">
        <is>
          <t>Passed Filter?</t>
        </is>
      </c>
      <c r="I14" s="1" t="inlineStr">
        <is>
          <t>In Report?</t>
        </is>
      </c>
    </row>
    <row r="15">
      <c r="A15" s="2" t="inlineStr">
        <is>
          <t>CRISPR sickle cell trial</t>
        </is>
      </c>
      <c r="B15" s="2" t="n">
        <v>1</v>
      </c>
      <c r="C15" s="2" t="n">
        <v>50</v>
      </c>
      <c r="D15" s="8">
        <f>MAX(0,MIN(10,10*(1-(B15-1)/MIN(C15,100))))</f>
        <v/>
      </c>
      <c r="E15" s="2" t="inlineStr">
        <is>
          <t>NO</t>
        </is>
      </c>
      <c r="F15" s="13" t="n">
        <v>0.92</v>
      </c>
      <c r="G15" s="14">
        <f>$I$13</f>
        <v/>
      </c>
      <c r="H15" s="6">
        <f>IF(E15="YES","N/A",IF(F15&gt;=$I$13,"PASS","FAIL"))</f>
        <v/>
      </c>
      <c r="I15" s="6">
        <f>IF(AND(E15="NO",H15="PASS"),"YES","NO")</f>
        <v/>
      </c>
    </row>
    <row r="16">
      <c r="A16" s="2" t="inlineStr">
        <is>
          <t>CAR-T leukemia approach</t>
        </is>
      </c>
      <c r="B16" s="2" t="n">
        <v>2</v>
      </c>
      <c r="C16" s="2" t="n">
        <v>50</v>
      </c>
      <c r="D16" s="8">
        <f>MAX(0,MIN(10,10*(1-(B16-1)/MIN(C16,100))))</f>
        <v/>
      </c>
      <c r="E16" s="2" t="inlineStr">
        <is>
          <t>NO</t>
        </is>
      </c>
      <c r="F16" s="13" t="n">
        <v>0.85</v>
      </c>
      <c r="G16" s="14">
        <f>$I$13</f>
        <v/>
      </c>
      <c r="H16" s="6">
        <f>IF(E16="YES","N/A",IF(F16&gt;=$I$13,"PASS","FAIL"))</f>
        <v/>
      </c>
      <c r="I16" s="6">
        <f>IF(AND(E16="NO",H16="PASS"),"YES","NO")</f>
        <v/>
      </c>
    </row>
    <row r="17">
      <c r="A17" s="2" t="inlineStr">
        <is>
          <t>CRISPR sickle cell trial (dup)</t>
        </is>
      </c>
      <c r="B17" s="2" t="n">
        <v>3</v>
      </c>
      <c r="C17" s="2" t="n">
        <v>50</v>
      </c>
      <c r="D17" s="8">
        <f>MAX(0,MIN(10,10*(1-(B17-1)/MIN(C17,100))))</f>
        <v/>
      </c>
      <c r="E17" s="22" t="inlineStr">
        <is>
          <t>YES</t>
        </is>
      </c>
      <c r="F17" s="23" t="inlineStr">
        <is>
          <t>(skipped)</t>
        </is>
      </c>
      <c r="G17" s="14">
        <f>$I$13</f>
        <v/>
      </c>
      <c r="H17" s="23" t="inlineStr">
        <is>
          <t>N/A (duplicate)</t>
        </is>
      </c>
      <c r="I17" s="22" t="inlineStr">
        <is>
          <t>NO</t>
        </is>
      </c>
    </row>
    <row r="18">
      <c r="A18" s="2" t="inlineStr">
        <is>
          <t>mRNA vaccine review</t>
        </is>
      </c>
      <c r="B18" s="2" t="n">
        <v>5</v>
      </c>
      <c r="C18" s="2" t="n">
        <v>50</v>
      </c>
      <c r="D18" s="8">
        <f>MAX(0,MIN(10,10*(1-(B18-1)/MIN(C18,100))))</f>
        <v/>
      </c>
      <c r="E18" s="2" t="inlineStr">
        <is>
          <t>NO</t>
        </is>
      </c>
      <c r="F18" s="13" t="n">
        <v>0.71</v>
      </c>
      <c r="G18" s="14">
        <f>$I$13</f>
        <v/>
      </c>
      <c r="H18" s="6">
        <f>IF(E18="YES","N/A",IF(F18&gt;=$I$13,"PASS","FAIL"))</f>
        <v/>
      </c>
      <c r="I18" s="6">
        <f>IF(AND(E18="NO",H18="PASS"),"YES","NO")</f>
        <v/>
      </c>
    </row>
    <row r="19">
      <c r="A19" s="2" t="inlineStr">
        <is>
          <t>Sahara weather patterns</t>
        </is>
      </c>
      <c r="B19" s="2" t="n">
        <v>10</v>
      </c>
      <c r="C19" s="2" t="n">
        <v>50</v>
      </c>
      <c r="D19" s="8">
        <f>MAX(0,MIN(10,10*(1-(B19-1)/MIN(C19,100))))</f>
        <v/>
      </c>
      <c r="E19" s="2" t="inlineStr">
        <is>
          <t>NO</t>
        </is>
      </c>
      <c r="F19" s="13" t="n">
        <v>0.12</v>
      </c>
      <c r="G19" s="14">
        <f>$I$13</f>
        <v/>
      </c>
      <c r="H19" s="6">
        <f>IF(E19="YES","N/A",IF(F19&gt;=$I$13,"PASS","FAIL"))</f>
        <v/>
      </c>
      <c r="I19" s="6">
        <f>IF(AND(E19="NO",H19="PASS"),"YES","NO")</f>
        <v/>
      </c>
    </row>
    <row r="20">
      <c r="A20" s="2" t="inlineStr">
        <is>
          <t>Insulin resistance study</t>
        </is>
      </c>
      <c r="B20" s="2" t="n">
        <v>25</v>
      </c>
      <c r="C20" s="2" t="n">
        <v>50</v>
      </c>
      <c r="D20" s="8">
        <f>MAX(0,MIN(10,10*(1-(B20-1)/MIN(C20,100))))</f>
        <v/>
      </c>
      <c r="E20" s="2" t="inlineStr">
        <is>
          <t>NO</t>
        </is>
      </c>
      <c r="F20" s="13" t="n">
        <v>0.68</v>
      </c>
      <c r="G20" s="14">
        <f>$I$13</f>
        <v/>
      </c>
      <c r="H20" s="6">
        <f>IF(E20="YES","N/A",IF(F20&gt;=$I$13,"PASS","FAIL"))</f>
        <v/>
      </c>
      <c r="I20" s="6">
        <f>IF(AND(E20="NO",H20="PASS"),"YES","NO")</f>
        <v/>
      </c>
    </row>
    <row r="21"/>
    <row r="22">
      <c r="A22" s="10" t="inlineStr">
        <is>
          <t>Pipeline Summary</t>
        </is>
      </c>
      <c r="B22" s="10" t="n"/>
      <c r="C22" s="10" t="n"/>
      <c r="D22" s="10" t="n"/>
    </row>
    <row r="23">
      <c r="A23" t="inlineStr">
        <is>
          <t>Retrieved</t>
        </is>
      </c>
      <c r="B23" t="n">
        <v>6</v>
      </c>
    </row>
    <row r="24">
      <c r="A24" t="inlineStr">
        <is>
          <t>Deduplicated (removed)</t>
        </is>
      </c>
      <c r="B24" s="17">
        <f>COUNTIF(E15:E20,"YES")</f>
        <v/>
      </c>
    </row>
    <row r="25">
      <c r="A25" t="inlineStr">
        <is>
          <t>Passed Filter</t>
        </is>
      </c>
      <c r="B25" s="17">
        <f>COUNTIF(H15:H20,"PASS")</f>
        <v/>
      </c>
    </row>
    <row r="26">
      <c r="A26" t="inlineStr">
        <is>
          <t>In Final Report</t>
        </is>
      </c>
      <c r="B26" s="17">
        <f>COUNTIF(I15:I20,"YES")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29" customWidth="1" min="3" max="3"/>
    <col width="40" customWidth="1" min="4" max="4"/>
    <col width="40" customWidth="1" min="5" max="5"/>
    <col width="38" customWidth="1" min="6" max="6"/>
  </cols>
  <sheetData>
    <row r="1">
      <c r="A1" s="4" t="inlineStr">
        <is>
          <t>AIEvaluationService: Unified LLM evaluation interface</t>
        </is>
      </c>
    </row>
    <row r="2">
      <c r="A2" s="5" t="inlineStr">
        <is>
          <t>Source: backend/services/ai_evaluation_service.py</t>
        </is>
      </c>
    </row>
    <row r="3"/>
    <row r="4">
      <c r="A4" s="1" t="inlineStr">
        <is>
          <t>Operation</t>
        </is>
      </c>
      <c r="B4" s="1" t="inlineStr">
        <is>
          <t>Input</t>
        </is>
      </c>
      <c r="C4" s="1" t="inlineStr">
        <is>
          <t>Output Type</t>
        </is>
      </c>
      <c r="D4" s="1" t="inlineStr">
        <is>
          <t>Output Schema</t>
        </is>
      </c>
      <c r="E4" s="1" t="inlineStr">
        <is>
          <t>Score Range</t>
        </is>
      </c>
      <c r="F4" s="1" t="inlineStr">
        <is>
          <t>Used For</t>
        </is>
      </c>
    </row>
    <row r="5">
      <c r="A5" s="2" t="inlineStr">
        <is>
          <t>filter()</t>
        </is>
      </c>
      <c r="B5" s="2" t="inlineStr">
        <is>
          <t>items + prompt_template</t>
        </is>
      </c>
      <c r="C5" s="2" t="inlineStr">
        <is>
          <t>Boolean</t>
        </is>
      </c>
      <c r="D5" s="2" t="inlineStr">
        <is>
          <t>{value: bool, confidence: 0-1, reasoning?: str}</t>
        </is>
      </c>
      <c r="E5" s="2" t="inlineStr">
        <is>
          <t>N/A (true/false)</t>
        </is>
      </c>
      <c r="F5" s="2" t="inlineStr">
        <is>
          <t>Yes/No classification of articles</t>
        </is>
      </c>
    </row>
    <row r="6">
      <c r="A6" s="2" t="inlineStr">
        <is>
          <t>score()</t>
        </is>
      </c>
      <c r="B6" s="2" t="inlineStr">
        <is>
          <t>items + prompt_template + min/max</t>
        </is>
      </c>
      <c r="C6" s="2" t="inlineStr">
        <is>
          <t>Float</t>
        </is>
      </c>
      <c r="D6" s="2" t="inlineStr">
        <is>
          <t>{value: float, confidence: 0-1, reasoning?: str}</t>
        </is>
      </c>
      <c r="E6" s="2" t="inlineStr">
        <is>
          <t>Configurable (default 0-1)</t>
        </is>
      </c>
      <c r="F6" s="2" t="inlineStr">
        <is>
          <t>Semantic filtering, relevance rating</t>
        </is>
      </c>
    </row>
    <row r="7">
      <c r="A7" s="2" t="inlineStr">
        <is>
          <t>extract()</t>
        </is>
      </c>
      <c r="B7" s="2" t="inlineStr">
        <is>
          <t>items + prompt_template + output_type</t>
        </is>
      </c>
      <c r="C7" s="2" t="inlineStr">
        <is>
          <t>Any (text/number/bool/enum)</t>
        </is>
      </c>
      <c r="D7" s="2" t="inlineStr">
        <is>
          <t>{value: any|null, confidence: 0-1, reasoning?: str}</t>
        </is>
      </c>
      <c r="E7" s="2" t="inlineStr">
        <is>
          <t>N/A</t>
        </is>
      </c>
      <c r="F7" s="2" t="inlineStr">
        <is>
          <t>Single value extraction from text</t>
        </is>
      </c>
    </row>
    <row r="8">
      <c r="A8" s="2" t="inlineStr">
        <is>
          <t>extract_fields()</t>
        </is>
      </c>
      <c r="B8" s="2" t="inlineStr">
        <is>
          <t>items + prompt_template + schema</t>
        </is>
      </c>
      <c r="C8" s="2" t="inlineStr">
        <is>
          <t>Structured (JSON)</t>
        </is>
      </c>
      <c r="D8" s="2" t="inlineStr">
        <is>
          <t>{fields: {schema}, confidence: 0-1, reasoning?: str}</t>
        </is>
      </c>
      <c r="E8" s="2" t="inlineStr">
        <is>
          <t>N/A</t>
        </is>
      </c>
      <c r="F8" s="2" t="inlineStr">
        <is>
          <t>Multi-field extraction per schema</t>
        </is>
      </c>
    </row>
    <row r="9"/>
    <row r="10">
      <c r="A10" s="10" t="inlineStr">
        <is>
          <t>Common Output Fields (all operations)</t>
        </is>
      </c>
      <c r="B10" s="10" t="n"/>
      <c r="C10" s="10" t="n"/>
      <c r="D10" s="10" t="n"/>
      <c r="E10" s="10" t="n"/>
    </row>
    <row r="11">
      <c r="A11" s="1" t="inlineStr">
        <is>
          <t>Field</t>
        </is>
      </c>
      <c r="B11" s="1" t="inlineStr">
        <is>
          <t>Type</t>
        </is>
      </c>
      <c r="C11" s="1" t="inlineStr">
        <is>
          <t>Range</t>
        </is>
      </c>
      <c r="D11" s="1" t="inlineStr">
        <is>
          <t>Required?</t>
        </is>
      </c>
      <c r="E11" s="1" t="inlineStr">
        <is>
          <t>Description</t>
        </is>
      </c>
    </row>
    <row r="12">
      <c r="A12" s="2" t="inlineStr">
        <is>
          <t>value</t>
        </is>
      </c>
      <c r="B12" s="2" t="inlineStr">
        <is>
          <t>varies by operation</t>
        </is>
      </c>
      <c r="C12" s="2" t="inlineStr">
        <is>
          <t>varies</t>
        </is>
      </c>
      <c r="D12" s="2" t="inlineStr">
        <is>
          <t>Yes</t>
        </is>
      </c>
      <c r="E12" s="2" t="inlineStr">
        <is>
          <t>The primary result (bool, float, string, object)</t>
        </is>
      </c>
    </row>
    <row r="13">
      <c r="A13" s="2" t="inlineStr">
        <is>
          <t>confidence</t>
        </is>
      </c>
      <c r="B13" s="2" t="inlineStr">
        <is>
          <t>float</t>
        </is>
      </c>
      <c r="C13" s="2" t="inlineStr">
        <is>
          <t>0.0 - 1.0</t>
        </is>
      </c>
      <c r="D13" s="2" t="inlineStr">
        <is>
          <t>Yes</t>
        </is>
      </c>
      <c r="E13" s="2" t="inlineStr">
        <is>
          <t>LLM confidence in its answer based on evidence quality</t>
        </is>
      </c>
    </row>
    <row r="14">
      <c r="A14" s="2" t="inlineStr">
        <is>
          <t>reasoning</t>
        </is>
      </c>
      <c r="B14" s="2" t="inlineStr">
        <is>
          <t>string</t>
        </is>
      </c>
      <c r="C14" s="2" t="inlineStr">
        <is>
          <t>N/A</t>
        </is>
      </c>
      <c r="D14" s="2" t="inlineStr">
        <is>
          <t>Optional</t>
        </is>
      </c>
      <c r="E14" s="2" t="inlineStr">
        <is>
          <t>Brief explanation (when include_reasoning=True)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30" customWidth="1" min="4" max="4"/>
  </cols>
  <sheetData>
    <row r="1">
      <c r="A1" s="24" t="inlineStr">
        <is>
          <t>Features from original spec that DO NOT EXIST in the codebase</t>
        </is>
      </c>
    </row>
    <row r="2">
      <c r="A2" s="9" t="inlineStr">
        <is>
          <t>The original spreadsheet spec described a hypothetical scoring pipeline. This tab clarifies what is real vs fictional.</t>
        </is>
      </c>
    </row>
    <row r="4">
      <c r="A4" s="1" t="inlineStr">
        <is>
          <t>Fictional Feature</t>
        </is>
      </c>
      <c r="B4" s="1" t="inlineStr">
        <is>
          <t>What It Described</t>
        </is>
      </c>
      <c r="C4" s="1" t="inlineStr">
        <is>
          <t>What Actually Exists</t>
        </is>
      </c>
      <c r="D4" s="1" t="inlineStr">
        <is>
          <t>Gap</t>
        </is>
      </c>
    </row>
    <row r="5">
      <c r="A5" s="25" t="inlineStr">
        <is>
          <t>Pattern Library (509 patterns)</t>
        </is>
      </c>
      <c r="B5" s="25" t="inlineStr">
        <is>
          <t>Predefined patterns (PAT-001, PAT-002) with confidence %, keywords</t>
        </is>
      </c>
      <c r="C5" s="25" t="inlineStr">
        <is>
          <t>No pattern library. Semantic filter uses freeform LLM criteria, not pattern matching</t>
        </is>
      </c>
      <c r="D5" s="25" t="inlineStr">
        <is>
          <t>Major - would need new subsystem</t>
        </is>
      </c>
    </row>
    <row r="6">
      <c r="A6" s="25" t="inlineStr">
        <is>
          <t>Signal Intake</t>
        </is>
      </c>
      <c r="B6" s="25" t="inlineStr">
        <is>
          <t>Raw intelligence items from news, social, court filings scored against patterns</t>
        </is>
      </c>
      <c r="C6" s="25" t="inlineStr">
        <is>
          <t>Articles come from search providers (PubMed, web). No 'signal' concept</t>
        </is>
      </c>
      <c r="D6" s="25" t="inlineStr">
        <is>
          <t>Major - different data model</t>
        </is>
      </c>
    </row>
    <row r="7">
      <c r="A7" s="25" t="inlineStr">
        <is>
          <t>Pattern Matching Matrix</t>
        </is>
      </c>
      <c r="B7" s="25" t="inlineStr">
        <is>
          <t>Each signal scored against each pattern → matrix of confidence %</t>
        </is>
      </c>
      <c r="C7" s="25" t="inlineStr">
        <is>
          <t>Single LLM score per article against one criteria string</t>
        </is>
      </c>
      <c r="D7" s="25" t="inlineStr">
        <is>
          <t>Major - 1D scoring vs N×M matrix</t>
        </is>
      </c>
    </row>
    <row r="8">
      <c r="A8" s="25" t="inlineStr">
        <is>
          <t>Lens Scoring (pattern/legal/social/news/anomaly)</t>
        </is>
      </c>
      <c r="B8" s="25" t="inlineStr">
        <is>
          <t>5 weighted lens scores aggregated to initial confidence</t>
        </is>
      </c>
      <c r="C8" s="25" t="inlineStr">
        <is>
          <t>No lens system. Single filter_score (0-1) per article</t>
        </is>
      </c>
      <c r="D8" s="25" t="inlineStr">
        <is>
          <t>Major - no multi-dimensional scoring</t>
        </is>
      </c>
    </row>
    <row r="9">
      <c r="A9" s="25" t="inlineStr">
        <is>
          <t>Lens Weights (35/20/20/15/10%)</t>
        </is>
      </c>
      <c r="B9" s="25" t="inlineStr">
        <is>
          <t>Pattern=35%, Legal=20%, Social=20%, News=15%, Anomaly=10%</t>
        </is>
      </c>
      <c r="C9" s="25" t="inlineStr">
        <is>
          <t>No weighted aggregation. Threshold is binary pass/fail</t>
        </is>
      </c>
      <c r="D9" s="25" t="inlineStr">
        <is>
          <t>Major - no weighted scoring</t>
        </is>
      </c>
    </row>
    <row r="10">
      <c r="A10" s="25" t="inlineStr">
        <is>
          <t>Evidence Tiers (1-4) with point caps</t>
        </is>
      </c>
      <c r="B10" s="25" t="inlineStr">
        <is>
          <t>Court=5pts/15cap, News=2pts/8cap, Pattern=1pt/5cap, Social=0.3pts/3cap</t>
        </is>
      </c>
      <c r="C10" s="25" t="inlineStr">
        <is>
          <t>No evidence tier system. All articles treated equally after filter</t>
        </is>
      </c>
      <c r="D10" s="25" t="inlineStr">
        <is>
          <t>Major - no evidence accumulation</t>
        </is>
      </c>
    </row>
    <row r="11">
      <c r="A11" s="25" t="inlineStr">
        <is>
          <t>Evidence Bonus</t>
        </is>
      </c>
      <c r="B11" s="25" t="inlineStr">
        <is>
          <t>Evidence points add bonus % to initial confidence</t>
        </is>
      </c>
      <c r="C11" s="25" t="inlineStr">
        <is>
          <t>No confidence adjustment mechanism</t>
        </is>
      </c>
      <c r="D11" s="25" t="inlineStr">
        <is>
          <t>Major - no post-hoc adjustment</t>
        </is>
      </c>
    </row>
    <row r="12">
      <c r="A12" s="25" t="inlineStr">
        <is>
          <t>Validated Confidence</t>
        </is>
      </c>
      <c r="B12" s="25" t="inlineStr">
        <is>
          <t>Initial confidence + evidence bonus = final score</t>
        </is>
      </c>
      <c r="C12" s="25" t="inlineStr">
        <is>
          <t>filter_score IS the final score. No multi-stage confidence</t>
        </is>
      </c>
      <c r="D12" s="25" t="inlineStr">
        <is>
          <t>Major - single-stage only</t>
        </is>
      </c>
    </row>
    <row r="13">
      <c r="A13" s="25" t="inlineStr">
        <is>
          <t>Hypothesis Generation</t>
        </is>
      </c>
      <c r="B13" s="25" t="inlineStr">
        <is>
          <t>Signals roll up into a named hypothesis with entity/domain</t>
        </is>
      </c>
      <c r="C13" s="25" t="inlineStr">
        <is>
          <t>Reports contain articles with summaries. No 'hypothesis' abstraction</t>
        </is>
      </c>
      <c r="D13" s="25" t="inlineStr">
        <is>
          <t>Moderate - different conceptual model</t>
        </is>
      </c>
    </row>
    <row r="14">
      <c r="A14" s="25" t="inlineStr">
        <is>
          <t>Decision Tab (pursue/refine/reject)</t>
        </is>
      </c>
      <c r="B14" s="25" t="inlineStr">
        <is>
          <t>Lawyer fills in strengths/weaknesses/next steps with dropdown</t>
        </is>
      </c>
      <c r="C14" s="25" t="inlineStr">
        <is>
          <t>No decision workflow. Reports are the final output</t>
        </is>
      </c>
      <c r="D14" s="25" t="inlineStr">
        <is>
          <t>Moderate - UI/workflow gap</t>
        </is>
      </c>
    </row>
    <row r="16">
      <c r="A16" s="10" t="inlineStr">
        <is>
          <t>What IS Implemented (scoring-related)</t>
        </is>
      </c>
      <c r="B16" s="10" t="n"/>
      <c r="C16" s="10" t="n"/>
      <c r="D16" s="10" t="n"/>
    </row>
    <row r="17">
      <c r="A17" s="1" t="inlineStr">
        <is>
          <t>Feature</t>
        </is>
      </c>
      <c r="B17" s="1" t="inlineStr">
        <is>
          <t>Description</t>
        </is>
      </c>
      <c r="C17" s="1" t="inlineStr">
        <is>
          <t>Key File</t>
        </is>
      </c>
    </row>
    <row r="18">
      <c r="A18" s="2" t="inlineStr">
        <is>
          <t>Position-based relevance</t>
        </is>
      </c>
      <c r="B18" s="2" t="inlineStr">
        <is>
          <t>Linear decay 0-10 based on search result position</t>
        </is>
      </c>
      <c r="C18" s="2" t="inlineStr">
        <is>
          <t>search_providers/base.py</t>
        </is>
      </c>
    </row>
    <row r="19">
      <c r="A19" s="2" t="inlineStr">
        <is>
          <t>LLM semantic filtering</t>
        </is>
      </c>
      <c r="B19" s="2" t="inlineStr">
        <is>
          <t>Score 0-1 with configurable threshold (default 0.7)</t>
        </is>
      </c>
      <c r="C19" s="2" t="inlineStr">
        <is>
          <t>pipeline_service.py</t>
        </is>
      </c>
    </row>
    <row r="20">
      <c r="A20" s="2" t="inlineStr">
        <is>
          <t>Iterative answer eval</t>
        </is>
      </c>
      <c r="B20" s="2" t="inlineStr">
        <is>
          <t>Generate→evaluate→feedback loop, threshold 0.8, max 3 iter</t>
        </is>
      </c>
      <c r="C20" s="2" t="inlineStr">
        <is>
          <t>iterative_answer_service.py</t>
        </is>
      </c>
    </row>
    <row r="21">
      <c r="A21" s="2" t="inlineStr">
        <is>
          <t>Deep research eval</t>
        </is>
      </c>
      <c r="B21" s="2" t="inlineStr">
        <is>
          <t>Two-tier: first eval + second opinion if confidence &lt; 0.8</t>
        </is>
      </c>
      <c r="C21" s="2" t="inlineStr">
        <is>
          <t>deep_research_service.py</t>
        </is>
      </c>
    </row>
    <row r="22">
      <c r="A22" s="2" t="inlineStr">
        <is>
          <t>Confidence calibration rubric</t>
        </is>
      </c>
      <c r="B22" s="2" t="inlineStr">
        <is>
          <t>Consistent 0-1 confidence scale across all LLM operations</t>
        </is>
      </c>
      <c r="C22" s="2" t="inlineStr">
        <is>
          <t>ai_evaluation_service.py</t>
        </is>
      </c>
    </row>
    <row r="23">
      <c r="A23" s="2" t="inlineStr">
        <is>
          <t>Unified eval API</t>
        </is>
      </c>
      <c r="B23" s="2" t="inlineStr">
        <is>
          <t>filter(), score(), extract(), extract_fields() with batch support</t>
        </is>
      </c>
      <c r="C23" s="2" t="inlineStr">
        <is>
          <t>ai_evaluation_service.py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2026-02-06T21:09:24Z</dcterms:created>
  <dcterms:modified xsi:type="dcterms:W3CDTF">2026-02-06T21:09:24Z</dcterms:modified>
</cp:coreProperties>
</file>